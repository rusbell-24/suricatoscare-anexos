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ón de Riesgos" sheetId="1" r:id="rId4"/>
  </sheets>
  <definedNames/>
  <calcPr/>
</workbook>
</file>

<file path=xl/sharedStrings.xml><?xml version="1.0" encoding="utf-8"?>
<sst xmlns="http://schemas.openxmlformats.org/spreadsheetml/2006/main" count="166" uniqueCount="96">
  <si>
    <t>MATRIZ DE RIESGOS</t>
  </si>
  <si>
    <t>Etiqueta</t>
  </si>
  <si>
    <t>Valor</t>
  </si>
  <si>
    <t>Impacto</t>
  </si>
  <si>
    <t>Muy Alto</t>
  </si>
  <si>
    <t>1
Muy Bajo</t>
  </si>
  <si>
    <t>2
Bajo</t>
  </si>
  <si>
    <t>3
Moderado</t>
  </si>
  <si>
    <t>4
Alto</t>
  </si>
  <si>
    <t>5
Muy Alto</t>
  </si>
  <si>
    <t>Alto</t>
  </si>
  <si>
    <t>Probabilidad</t>
  </si>
  <si>
    <t>Moderado</t>
  </si>
  <si>
    <t>Bajo</t>
  </si>
  <si>
    <t>Muy Bajo</t>
  </si>
  <si>
    <t>Identificación de Riesgos</t>
  </si>
  <si>
    <t>Priorizacion de riesgos</t>
  </si>
  <si>
    <t>Mitigacion de riesgos</t>
  </si>
  <si>
    <t>Id</t>
  </si>
  <si>
    <t>Riesgo</t>
  </si>
  <si>
    <t>Escenario de Riesgo</t>
  </si>
  <si>
    <t>Tipo</t>
  </si>
  <si>
    <t>Calificación</t>
  </si>
  <si>
    <t>Resultado</t>
  </si>
  <si>
    <t>Priorizados</t>
  </si>
  <si>
    <t>Justificacion</t>
  </si>
  <si>
    <t>Estregia</t>
  </si>
  <si>
    <t>Fuga de datos personales de cuidadores y/o padres por almacenamiento inseguro.</t>
  </si>
  <si>
    <t>Durante un un proceso de autditorìa se detecta que los datos sensibles de cuidadores y padres (direcciones, teléfonos, correos electrónicos entre otros) estan almacenados en una base de datos sin cifrado. Esto permite que un atacante pueda acceder a la informaciòn ocasionando pèrdida de confidencialidad e incluso sonciones por fallas en la protección de datos.</t>
  </si>
  <si>
    <t>RIESGO DE TECNOLOGÍA</t>
  </si>
  <si>
    <t>X</t>
  </si>
  <si>
    <t>Este riesgo se prioriza porque involucra datos personales altamente sensibles, cuya protección es un requisito legal y ético fundamental. Una fuga de información no solo afecta directamente la confianza de los usuarios en la plataforma, sino que también expone a la organización a sanciones legales severas por incumplimiento de normativas de protección de datos. Además, el impacto reputacional de un incidente de este tipo puede ser irreversible, limitando la adopción del servicio y comprometiendo su sostenibilidad en el tiempo. Por estas razones, garantizar la seguridad en el almacenamiento de la información debe ser tratado como una prioridad crítica.</t>
  </si>
  <si>
    <t>Para mitigar la fuga de datos personales, se recomienda implementar cifrado robusto en tránsito y en reposo, utilizando algoritmos y protocolos actuales que garantizan la confidencialidad de la información. Es fundamental establecer un control de acceso basado en roles (RBAC) junto con el principio de menor privilegio, asegurando que cada usuario acceda únicamente a la información estrictamente necesaria.</t>
  </si>
  <si>
    <t>mvp</t>
  </si>
  <si>
    <t>Acceso no autorizado a las APIs de la aplicación.</t>
  </si>
  <si>
    <t>Un atacante descubre que las APIs de la aplicacón no cuentan con mecanismos robustos de autenticación y autorización. aprovechando esta debilidad, logra realizar llamadas a servicios a travès de los cuales no solo obtiene información; sino que también manipula datos, compromentiendo así la integridad y confidencialidad de la información, afectando la prestación del servicio.</t>
  </si>
  <si>
    <t>Autenticación débil o mal implementada para acceso a la plataforma.</t>
  </si>
  <si>
    <t>Durnate un proceso de registro un usuario puede crear contraseña sin cumplir los requisitos minimos de seguridad (lomngitud, caracteres especiales). Un atacante aprovecha la debilidad de este factor y accede a los la cuenta de un usuario; logrando de esta manera visualizar y modificar información., ocasionando vulneración de la privacidad.</t>
  </si>
  <si>
    <t>Configuraciones erroneas de artefactos que hacen parte de la arquitectura de la aplicación. Ej Bucket S3 público en la nube</t>
  </si>
  <si>
    <t>Durante el proceso de configuración de un bucket, un miembro del equipo de desarrolllo lo deja por error con acceso pùblico. Este descuido es detectado por tercero que aprovecha la falla de seguridad y descarga fotos, datos e información de los usuarios compartiendola de manera no autorizada, afectando de esta manera la reputación de Suricatos Care y exponiendo la empresa a sanciones legales.</t>
  </si>
  <si>
    <t>Este riesgo se prioriza porque una configuración errónea en servicios externos, como un bucket S3 público, puede convertirse rápidamente en una puerta abierta para que terceros accedan a información sensible de los usuarios. Un descuido de este tipo no solo expone fotos y datos personales, sino que también golpea directamente la reputación de la plataforma y puede derivar en sanciones legales. Además, las consecuencias van más allá de la fuga de información: también se pueden perder o corromper datos y afectar la disponibilidad de los servicios. Por eso, garantizar configuraciones seguras desde el inicio es clave para reducir la exposición a incidentes graves.</t>
  </si>
  <si>
    <t>Para mitigar los riesgos asociados y parámetros defectuosos de artefactos que componen la arquitectura de la aplicación, se recomienda adoptar prácticas de infraestructura como código (IaC), que permitan gestionar la configuración de los recursos de forma trazable, automatizada y auditada. Estas plantillas deben estar sujetas a validaciones automáticas que aseguran configuraciones seguras desde el despliegue inicial.</t>
  </si>
  <si>
    <t>Validación deficiente en campos de los formularios que permitan la inyección de código.</t>
  </si>
  <si>
    <t>Un usuario mal intencionado ingresa código malicioso en la sección comentarios en calificación de servicios debido a que no existen validaciones de entrada adecuadas. Esto le permite ejecutar scripts en el sistema redirigiendo a los usuarios a a pàginas fraudulentas, ocasionando afectaciòn en la disponibilidad del servicio.</t>
  </si>
  <si>
    <t>Este riesgo se prioriza porque los campos de entrada en formularios suelen ser uno de los puntos más vulnerables y atractivos para atacantes. Si no se implementan validaciones adecuadas, un usuario malintencionado puede inyectar código que afecte directamente la integridad y disponibilidad del servicio, exponiendo a los usuarios a fraudes o redirecciones maliciosas. En una aplicación como SuricatosCare, que gestiona información personal, este tipo de ataque tendría un impacto grave en la seguridad de los datos y en la confianza de las familias. Por eso, reforzar la seguridad en los formularios no es un detalle técnico menor, sino una medida esencial para garantizar la protección de la plataforma y sus usuarios.</t>
  </si>
  <si>
    <t>Para mitigar el riesgo de validación deficiente en formularios, se recomienda implementar un sistema de validación robusto tanto en el cliente como en el servidor, siguiendo el principio de defensa en profundidad. Las entradas de usuario deben ser validadas con reglas estrictas de formato, longitud y tipo de datos, y posteriormente saneadas antes de ser procesadas o almacenadas.</t>
  </si>
  <si>
    <t>Errores en la gestión de roles y permisos que permitan accesos no autorizados.</t>
  </si>
  <si>
    <t>Durante la operación diaria de la plataforma, un error en la configuración de roles permite que un usuario con perfil básico acceda a módulos reservados para administradores. Esto sucede porque no se aplicaron correctamente las reglas de autorización en el backend y no existen validaciones adicionales en el frontend. Como resultado, el usuario puede visualizar y modificar información sensible, generando pérdida de confidencialidad, incumplimiento de la normativa de protección de datos, afectación a la reputación de la plataforma y posibles sanciones legales o económicas.</t>
  </si>
  <si>
    <t>Este riesgo se prioriza porque una gestión inadecuada de roles y permisos puede abrir la puerta a accesos no autorizados a información sensible o a funcionalidades críticas de la plataforma. Una brecha de este tipo compromete directamente la confidencialidad e integridad de los datos, y expone a la organización a un uso indebido de la información con fines distintos al propósito legítimo de la aplicación. Además, los fallos en los mecanismos de autorización tienen un doble impacto: por un lado, generan riesgos legales por incumplimiento de normativas de protección de datos; y por otro, afectan la confianza de los usuarios, un factor clave para la sostenibilidad del sistema. Por estas razones, establecer un control riguroso en la configuración y verificación de los niveles de acceso es fundamental para garantizar la seguridad y credibilidad de la plataforma.</t>
  </si>
  <si>
    <t>Para mitigar este riesgo, se recomienda implementar un modelo de control de acceso basado en roles (RBAC) bien definido desde el diseño de la arquitectura, documentando claramente los privilegios asociados a cada tipo de usuario. Este modelo debe ser aplicado de forma consistente en todas las capas de la aplicación, utilizando validaciones tanto a nivel de interfaz como en los endpoints del backend. Es importante aplicar el principio de menor privilegio y deshabilitar por defecto cualquier permiso no explícitamente requerido. Se debe validar cada acción sensible con controles adicionales (por ejemplo, reautenticación en operaciones críticas) y realizar pruebas automatizadas de autorización para detectar brechas.</t>
  </si>
  <si>
    <t>Alta dependencia con servicios externos para servicios claves dentro de la aplicación (ej: pasarla de pagos)</t>
  </si>
  <si>
    <t>En un día de alta demanda, la pasarela de pagos integrada en la plataforma presenta una falla generalizada en sus servidores, impidiendo que los usuarios puedan completar transacciones. Como resultado, los procesos de pago quedan pendientes o cancelados, afectando directamente la confianza de los clientes y generando pérdidas económicas por ventas no concretadas.</t>
  </si>
  <si>
    <t>Sobrecarga del sistema ante aumento repentino de usuarios</t>
  </si>
  <si>
    <t>Durante una campaña de lanzamiento en redes sociales, la plataforma recibe un flujo de usuarios muy superior al promedio, lo que provoca que los servidores se saturen y el tiempo de respuesta aumente drásticamente. Esto ocasiona que algunos usuarios no puedan iniciar sesión o completar procesos, afectando su experiencia y generando quejas en línea.</t>
  </si>
  <si>
    <t>Perdida de integridad de la información en la comunicacion entre sistemas interoperables</t>
  </si>
  <si>
    <t>En un proceso automatizado de integración con una API de terceros para gestionar pagos, se omiten validaciones de integridad en los mensajes intercambiados. Esto permite que, ante una falla temporal del servicio, se guarden en la plataforma transacciones incompletas o con montos erróneos, generando reclamaciones por parte de los usuarios.</t>
  </si>
  <si>
    <t>RIESGO OPERACIONAL</t>
  </si>
  <si>
    <t>Este riesgo se prioriza porque la pérdida de integridad en la comunicación entre sistemas afecta directamente la veracidad de la información almacenada. Un dato incompleto o alterado durante una transacción puede generar desajustes en los registros financieros, inconsistencias en los procesos internos y errores en la toma de decisiones. Estos desajustes no solo comprometen la confiabilidad de la plataforma, sino que también implican mayores costos operativos al tener que identificar y corregir las inconsistencias. Por eso, implementar validaciones de integridad robustas en los procesos de interoperabilidad es esencial para mantener la coherencia de la información y garantizar la estabilidad del sistema.</t>
  </si>
  <si>
    <t>La estrategia de mitigación para este riesgo consiste en implementar validaciones de integridad sólidas en la comunicación entre sistemas, asegurando que los mensajes intercambiados sean verificados mediante mecanismos como checksums, firmas digitales o hashes antes de su almacenamiento. Además, se deben establecer controles de validación de campos obligatorios y formatos esperados para evitar que transacciones incompletas ingresen al sistema. Es fundamental incluir manejo robusto de errores, reintentos automáticos y transacciones idempotentes para garantizar la coherencia de los datos ante fallas temporales. También se recomienda contar con un sistema de monitoreo y alertas tempranas que detecte anomalías en tiempo real, así como realizar auditorías y pruebas periódicas de resiliencia e interoperabilidad para mantener la consistencia y veracidad de la información entre sistemas.</t>
  </si>
  <si>
    <t>Incumplimiento de normatividad relacionada con el tratamiento de datos personales (financieros)</t>
  </si>
  <si>
    <t>Durante el almacenamiento de datos financieros de los usuarios, el equipo de desarrollo no aplica el cifrado requerido por la normativa vigente. Este descuido se detecta en una auditoría externa, evidenciando que la plataforma incumple la Ley de Protección de Datos Personales y normativas asociadas, lo que podría derivar en sanciones económicas y pérdida de confianza de los clientes.</t>
  </si>
  <si>
    <t>RIESGO LEGAL</t>
  </si>
  <si>
    <t>Este riesgo se prioriza porque la plataforma manejará información financiera sensible en sus procesos de pago, lo que exige cumplir estrictamente con la normativa nacional vigente y con estándares de seguridad reconocidos internacionalmente. El incumplimiento en la aplicación de medidas como el cifrado de datos no solo expone a la organización a sanciones legales y económicas, sino que también afecta gravemente la confianza de los usuarios en el sistema. En un servicio que depende de la credibilidad y la seguridad para garantizar su adopción, asegurar la conformidad regulatoria no es una opción, sino un requisito fundamental para la sostenibilidad del proyecto.</t>
  </si>
  <si>
    <t>Para mitigar este riesgo se recomienda garantizar el cumplimiento estricto de la normativa vigente sobre el tratamiento de datos personales y financieros mediante la implementación de controles técnicos y administrativos adecuados. Es fundamental aplicar cifrado de extremo a extremo tanto en el almacenamiento como en la transmisión de información sensible, utilizar protocolos seguros (TLS/HTTPS) y adoptar una gestión de claves bajo estándares reconocidos. Además, se debe restringir el acceso a la información mediante roles y permisos claramente definidos, complementados con auditorías internas periódicas que verifiquen el cumplimiento normativo. También es importante mantener las políticas de privacidad actualizadas, capacitar al equipo en prácticas seguras de manejo de datos y realizar evaluaciones de impacto en protección de datos (DPIA) que permitan identificar vulnerabilidades antes de que se materialicen.</t>
  </si>
  <si>
    <t>Interrupciones prolongadas del servicio por fallas en la infraestructura de hosting</t>
  </si>
  <si>
    <t>Durante un día de operación normal, el proveedor de hosting experimenta una falla crítica en su centro de datos, dejando la plataforma web y móvil fuera de servicio por más de 12 horas. La empresa no cuenta con un plan de contingencia ni servidores redundantes en otro proveedor, lo que impide restablecer la disponibilidad rápidamente. Esto afecta a todos los usuarios, interrumpe transacciones y genera una ola de reclamos en redes sociales, impactando la confianza en el servicio.</t>
  </si>
  <si>
    <t>Falsificación de identidad o antecedentes de cuidadores</t>
  </si>
  <si>
    <t>Un cuidador se registra en la plataforma con documentos falsos o antecedentes penales ocultos. Al ser contratado, pone en riesgo la seguridad física y emocional del menor, generando un incidente grave que afecta la reputación y responsabilidad legal de la plataforma.</t>
  </si>
  <si>
    <t>Implementar verificación de identidad con OCR + validación biométrica, integración con bases de datos oficiales de antecedentes penales y policiales, y obligatoriedad de referencias verificables. Establecer cláusulas de responsabilidad compartida y seguros de responsabilidad civil.</t>
  </si>
  <si>
    <t>Abuso de confianza o conductas inapropiadas durante el servicio</t>
  </si>
  <si>
    <t>Un cuidador, tras ser contratado, comete actos inapropiados (verbales, físicos o psicológicos) contra el menor durante la prestación del servicio. La plataforma no cuenta con mecanismos de monitoreo ni protocolos de denuncia efectivos.</t>
  </si>
  <si>
    <t>Este riesgo se prioriza porque involucra directamente la seguridad y el bienestar de los menores, quienes son el eje central del servicio ofrecido por la plataforma. Además, es importante tener en alta consideración que cualquier conducta inapropiada por parte de un cuidador no solo puede representar un daño irreparable para el niño y su familia, sino que también compromete seriamente la credibilidad y la continuidad del servicio ofrecido por la plataforma.</t>
  </si>
  <si>
    <t>Implementar sistema de evaluación post-servicio obligatoria, botón de emergencia en la app, geolocalización en tiempo real durante el servicio, y protocolo de respuesta inmediata con contacto a autoridades. Capacitación obligatoria en ética y protección infantil para cuidadores.</t>
  </si>
  <si>
    <t>Manipulación de reseñas o calificaciones falsas</t>
  </si>
  <si>
    <t>Usuarios (cuidadores o padres) crean cuentas falsas o manipulan el sistema de calificaciones para inflar su reputación o perjudicar a otros, erosionando la confianza en el sistema de reputación de la plataforma.</t>
  </si>
  <si>
    <t>Este riesgo se prioriza porque el sistema de reputación basado en calificaciones es un elemento esencial para que padres y madres tomen decisiones informadas y confíen en los cuidadores. La manipulación de reseñas afecta directamente la transparencia de las interacciones y distorsiona la percepción real de la calidad del servicio. Por ello, Si las calificaciones pueden alterarse, la plataforma pierde credibilidad, compromete la experiencia de los usuarios y debilita uno de los mecanismos centrales que garantizan seguridad y confianza dentro del sistema.</t>
  </si>
  <si>
    <t>Implementar algoritmos de detección de patrones anómalos en calificaciones, requerir verificación de servicio completado antes de calificar, limitar una calificación por servicio real y usar CAPTCHA o verificación humana para nuevas cuentas.</t>
  </si>
  <si>
    <t>Falta de cobertura legal en jurisdicciones donde opera la app</t>
  </si>
  <si>
    <t>La plataforma opera en múltiples ciudades o países sin adaptar sus términos de servicio, políticas de privacidad o cumplimiento regulatorio a las leyes locales (ej: GDPR en Europa, COPPA en EE.UU., Ley de Protección de la Infancia en LATAM), exponiéndose a multas y bloqueos.</t>
  </si>
  <si>
    <t>Realizar análisis jurisdiccional previo a la expansión geográfica. Contar con asesoría legal local y adaptar políticas, contratos y flujos de datos según normativa regional. Implementar geobloqueo hasta cumplir requisitos.</t>
  </si>
  <si>
    <t>Dependencia crítica de un solo proveedor de autenticación (ej: Google/Facebook Login)</t>
  </si>
  <si>
    <t>La plataforma depende exclusivamente de OAuth de terceros (Google, Facebook) para el inicio de sesión. Si estos servicios sufren una caída o cambian sus políticas, los usuarios no pueden acceder, generando pérdida de confianza y transacciones canceladas.</t>
  </si>
  <si>
    <t>Implementar autenticación propia (email + contraseña segura) como método primario o de respaldo. Permitir múltiples proveedores de OAuth y almacenar tokens de sesión con renovación automática.</t>
  </si>
  <si>
    <t>Fuga de datos por dispositivos móviles comprometidos (usuarios finales)</t>
  </si>
  <si>
    <t>Un padre o cuidador accede a la app desde un dispositivo infectado con malware. El atacante roba credenciales o datos sensibles en tránsito, comprometiendo cuentas sin que la plataforma tenga responsabilidad directa, pero afectando su reputación.</t>
  </si>
  <si>
    <t>Este riesgo se prioriza porque, aunque la plataforma no tiene control directo sobre el estado de los dispositivos móviles de los usuarios, sí debe garantizar que, incluso en escenarios adversos, la información personal se mantenga protegida. Por lo tanto, si un atacante logra robar datos desde un dispositivo comprometido, el incidente terminaría afectando la reputación de la plataforma, ya que para el usuario promedio la diferencia entre un fallo de su dispositivo y un fallo del servicio no es evidente.</t>
  </si>
  <si>
    <t>Implementar autenticación en dos factores (2FA) obligatoria, detección de dispositivos sospechosos, cifrado de datos en tránsito y en reposo, y campañas educativas para usuarios sobre seguridad en dispositivos móviles.</t>
  </si>
  <si>
    <t>Incumplimiento de obligaciones fiscales o tributarias por pagos a cuidadores</t>
  </si>
  <si>
    <t>La plataforma actúa como intermediaria de pagos, pero no retiene impuestos ni emite comprobantes fiscales según la legislación local, generando responsabilidad tributaria para la empresa y sanciones por evasión o elusión fiscal.</t>
  </si>
  <si>
    <t>Integrar motor de cálculo fiscal automático según jurisdicción del cuidador. Emitir comprobantes electrónicos y reportar operaciones a autoridades fiscales. Asesoría contable continua y compliance tributario.</t>
  </si>
  <si>
    <t>Desinformación o mal uso de la plataforma por usuarios no capacitados</t>
  </si>
  <si>
    <t>Padres o cuidadores malinterpretan funcionalidades (ej: confunden reserva con contratación inmediata, no entienden políticas de cancelación), generando conflictos, reclamos y sobrecarga del soporte.</t>
  </si>
  <si>
    <t>Diseñar UX/UI intuitiva con tutoriales interactivos, mensajes contextuales y confirmaciones claras. Implementar chatbot de soporte 24/7 y centro de ayuda con videos explicativos. Encuestas de satisfacción post-interacción.</t>
  </si>
  <si>
    <t>Ataques de ingeniería social a empleados o soporte técnico</t>
  </si>
  <si>
    <t>Un atacante se hace pasar por usuario legítimo y engaña al equipo de soporte para restablecer contraseñas, acceder a datos o modificar perfiles, aprovechando la falta de protocolos de verificación estrictos.</t>
  </si>
  <si>
    <t>Capacitar al personal en reconocimiento de ataques de ingeniería social. Establecer protocolos de verificación de identidad (ej: preguntas de seguridad, verificación por segundo canal) antes de realizar cambios sensibles. Registrar y auditar todas las acciones de soporte.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</si>
</sst>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FFFFFF"/>
      <name val="Arial"/>
      <scheme val="minor"/>
    </font>
    <font>
      <b/>
      <color theme="1"/>
      <name val="Arial"/>
      <scheme val="minor"/>
    </font>
    <font>
      <color theme="1"/>
      <name val="Arial"/>
      <scheme val="minor"/>
    </font>
    <font/>
    <font>
      <b/>
      <sz val="14.0"/>
      <color rgb="FF000000"/>
      <name val="&quot;Aptos Narrow&quot;"/>
    </font>
    <font>
      <b/>
      <sz val="14.0"/>
      <color rgb="FF000000"/>
      <name val="Arial"/>
    </font>
    <font>
      <b/>
      <sz val="12.0"/>
      <color rgb="FF000000"/>
      <name val="&quot;Aptos Narrow&quot;"/>
    </font>
    <font>
      <b/>
      <sz val="12.0"/>
      <color rgb="FF000000"/>
      <name val="Arial"/>
    </font>
    <font>
      <sz val="10.0"/>
      <color rgb="FF000000"/>
      <name val="&quot;Aptos Narrow&quot;"/>
    </font>
    <font>
      <sz val="10.0"/>
      <color rgb="FF000000"/>
      <name val="Arial"/>
    </font>
    <font>
      <b/>
      <sz val="10.0"/>
      <color theme="1"/>
      <name val="Arial"/>
      <scheme val="minor"/>
    </font>
    <font>
      <b/>
      <sz val="20.0"/>
      <color theme="1"/>
      <name val="Arial"/>
      <scheme val="minor"/>
    </font>
    <font>
      <color theme="1"/>
      <name val="Arial"/>
    </font>
  </fonts>
  <fills count="12">
    <fill>
      <patternFill patternType="none"/>
    </fill>
    <fill>
      <patternFill patternType="lightGray"/>
    </fill>
    <fill>
      <patternFill patternType="solid">
        <fgColor rgb="FF45818E"/>
        <bgColor rgb="FF45818E"/>
      </patternFill>
    </fill>
    <fill>
      <patternFill patternType="solid">
        <fgColor rgb="FF76A5AF"/>
        <bgColor rgb="FF76A5AF"/>
      </patternFill>
    </fill>
    <fill>
      <patternFill patternType="solid">
        <fgColor rgb="FFA2C4C9"/>
        <bgColor rgb="FFA2C4C9"/>
      </patternFill>
    </fill>
    <fill>
      <patternFill patternType="solid">
        <fgColor rgb="FF00B050"/>
        <bgColor rgb="FF00B050"/>
      </patternFill>
    </fill>
    <fill>
      <patternFill patternType="solid">
        <fgColor theme="6"/>
        <bgColor theme="6"/>
      </patternFill>
    </fill>
    <fill>
      <patternFill patternType="solid">
        <fgColor rgb="FFFF0000"/>
        <bgColor rgb="FFFF0000"/>
      </patternFill>
    </fill>
    <fill>
      <patternFill patternType="solid">
        <fgColor rgb="FFFECB03"/>
        <bgColor rgb="FFFECB03"/>
      </patternFill>
    </fill>
    <fill>
      <patternFill patternType="solid">
        <fgColor rgb="FFC0E6F5"/>
        <bgColor rgb="FFC0E6F5"/>
      </patternFill>
    </fill>
    <fill>
      <patternFill patternType="solid">
        <fgColor rgb="FFDAE9F8"/>
        <bgColor rgb="FFDAE9F8"/>
      </patternFill>
    </fill>
    <fill>
      <patternFill patternType="solid">
        <fgColor rgb="FFCCCCCC"/>
        <bgColor rgb="FFCCCC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readingOrder="0" vertical="center"/>
    </xf>
    <xf borderId="0" fillId="0" fontId="2" numFmtId="0" xfId="0" applyAlignment="1" applyFont="1">
      <alignment horizontal="center" readingOrder="0" vertical="center"/>
    </xf>
    <xf borderId="0" fillId="2" fontId="3" numFmtId="0" xfId="0" applyAlignment="1" applyFont="1">
      <alignment horizontal="center" readingOrder="0" textRotation="90" vertical="center"/>
    </xf>
    <xf borderId="0" fillId="4" fontId="2" numFmtId="0" xfId="0" applyAlignment="1" applyFill="1" applyFont="1">
      <alignment horizontal="center" readingOrder="0" vertical="center"/>
    </xf>
    <xf borderId="1" fillId="0" fontId="3" numFmtId="0" xfId="0" applyAlignment="1" applyBorder="1" applyFont="1">
      <alignment readingOrder="0"/>
    </xf>
    <xf borderId="1" fillId="0" fontId="3" numFmtId="0" xfId="0" applyAlignment="1" applyBorder="1" applyFont="1">
      <alignment horizontal="center" readingOrder="0"/>
    </xf>
    <xf borderId="0" fillId="0" fontId="3" numFmtId="0" xfId="0" applyAlignment="1" applyFont="1">
      <alignment horizontal="center" readingOrder="0"/>
    </xf>
    <xf borderId="0" fillId="0" fontId="3" numFmtId="0" xfId="0" applyAlignment="1" applyFont="1">
      <alignment horizontal="center" readingOrder="0" vertical="center"/>
    </xf>
    <xf borderId="2" fillId="4" fontId="2" numFmtId="0" xfId="0" applyAlignment="1" applyBorder="1" applyFont="1">
      <alignment horizontal="center" readingOrder="0" textRotation="90" vertical="center"/>
    </xf>
    <xf borderId="3" fillId="0" fontId="3" numFmtId="0" xfId="0" applyAlignment="1" applyBorder="1" applyFont="1">
      <alignment horizontal="center" readingOrder="0" vertical="center"/>
    </xf>
    <xf borderId="3" fillId="5" fontId="2" numFmtId="0" xfId="0" applyAlignment="1" applyBorder="1" applyFill="1" applyFont="1">
      <alignment horizontal="center" readingOrder="0" vertical="center"/>
    </xf>
    <xf borderId="3" fillId="6" fontId="2" numFmtId="0" xfId="0" applyAlignment="1" applyBorder="1" applyFill="1" applyFont="1">
      <alignment horizontal="center" readingOrder="0" vertical="center"/>
    </xf>
    <xf borderId="3" fillId="7" fontId="2" numFmtId="0" xfId="0" applyAlignment="1" applyBorder="1" applyFill="1" applyFont="1">
      <alignment horizontal="center" readingOrder="0" vertical="center"/>
    </xf>
    <xf borderId="2" fillId="0" fontId="4" numFmtId="0" xfId="0" applyBorder="1" applyFont="1"/>
    <xf borderId="1" fillId="0" fontId="3" numFmtId="0" xfId="0" applyAlignment="1" applyBorder="1" applyFont="1">
      <alignment horizontal="center" readingOrder="0" vertical="center"/>
    </xf>
    <xf borderId="1" fillId="5" fontId="2" numFmtId="0" xfId="0" applyAlignment="1" applyBorder="1" applyFont="1">
      <alignment horizontal="center" readingOrder="0" vertical="center"/>
    </xf>
    <xf borderId="1" fillId="8" fontId="2" numFmtId="0" xfId="0" applyAlignment="1" applyBorder="1" applyFill="1" applyFont="1">
      <alignment horizontal="center" readingOrder="0" vertical="center"/>
    </xf>
    <xf borderId="1" fillId="7" fontId="2" numFmtId="0" xfId="0" applyAlignment="1" applyBorder="1" applyFont="1">
      <alignment horizontal="center" readingOrder="0" vertical="center"/>
    </xf>
    <xf borderId="3" fillId="0" fontId="4" numFmtId="0" xfId="0" applyBorder="1" applyFont="1"/>
    <xf borderId="4" fillId="9" fontId="5" numFmtId="0" xfId="0" applyAlignment="1" applyBorder="1" applyFill="1" applyFont="1">
      <alignment horizontal="center" readingOrder="0" vertical="center"/>
    </xf>
    <xf borderId="5" fillId="0" fontId="4" numFmtId="0" xfId="0" applyBorder="1" applyFont="1"/>
    <xf borderId="6" fillId="0" fontId="4" numFmtId="0" xfId="0" applyBorder="1" applyFont="1"/>
    <xf borderId="4" fillId="9" fontId="6" numFmtId="0" xfId="0" applyAlignment="1" applyBorder="1" applyFont="1">
      <alignment horizontal="center" readingOrder="0" vertical="center"/>
    </xf>
    <xf borderId="0" fillId="0" fontId="5" numFmtId="0" xfId="0" applyAlignment="1" applyFont="1">
      <alignment horizontal="center" readingOrder="0" vertical="center"/>
    </xf>
    <xf borderId="0" fillId="0" fontId="5" numFmtId="0" xfId="0" applyAlignment="1" applyFont="1">
      <alignment horizontal="center" readingOrder="0" vertical="bottom"/>
    </xf>
    <xf borderId="1" fillId="10" fontId="7" numFmtId="0" xfId="0" applyAlignment="1" applyBorder="1" applyFill="1" applyFont="1">
      <alignment horizontal="center" readingOrder="0" vertical="center"/>
    </xf>
    <xf borderId="4" fillId="10" fontId="7" numFmtId="0" xfId="0" applyAlignment="1" applyBorder="1" applyFont="1">
      <alignment horizontal="center" readingOrder="0" vertical="center"/>
    </xf>
    <xf borderId="4" fillId="10" fontId="8" numFmtId="0" xfId="0" applyAlignment="1" applyBorder="1" applyFont="1">
      <alignment horizontal="center" readingOrder="0" vertical="center"/>
    </xf>
    <xf borderId="1" fillId="10" fontId="8" numFmtId="0" xfId="0" applyAlignment="1" applyBorder="1" applyFont="1">
      <alignment horizontal="center" readingOrder="0" vertical="center"/>
    </xf>
    <xf borderId="0" fillId="0" fontId="8" numFmtId="0" xfId="0" applyAlignment="1" applyFont="1">
      <alignment horizontal="center" readingOrder="0"/>
    </xf>
    <xf borderId="1" fillId="0" fontId="9" numFmtId="0" xfId="0" applyAlignment="1" applyBorder="1" applyFont="1">
      <alignment horizontal="center" readingOrder="0" shrinkToFit="0" vertical="center" wrapText="1"/>
    </xf>
    <xf borderId="4" fillId="0" fontId="10" numFmtId="0" xfId="0" applyAlignment="1" applyBorder="1" applyFont="1">
      <alignment horizontal="left" readingOrder="0"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vertical="center"/>
    </xf>
    <xf borderId="1" fillId="0" fontId="12" numFmtId="0" xfId="0" applyAlignment="1" applyBorder="1" applyFont="1">
      <alignment horizontal="center" readingOrder="0" vertical="center"/>
    </xf>
    <xf borderId="1"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center" vertical="center"/>
    </xf>
    <xf borderId="4" fillId="0" fontId="3" numFmtId="0" xfId="0" applyAlignment="1" applyBorder="1" applyFont="1">
      <alignment readingOrder="0" shrinkToFit="0" vertical="center" wrapText="1"/>
    </xf>
    <xf borderId="1" fillId="0" fontId="2" numFmtId="0" xfId="0" applyAlignment="1" applyBorder="1" applyFont="1">
      <alignment horizontal="center" vertical="center"/>
    </xf>
    <xf borderId="4" fillId="0" fontId="3"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readingOrder="0" vertical="center"/>
    </xf>
    <xf borderId="0" fillId="0" fontId="3" numFmtId="0" xfId="0" applyAlignment="1" applyFont="1">
      <alignment vertical="center"/>
    </xf>
    <xf borderId="0" fillId="11" fontId="3" numFmtId="0" xfId="0" applyAlignment="1" applyFill="1" applyFont="1">
      <alignment vertical="center"/>
    </xf>
    <xf borderId="4" fillId="0" fontId="13" numFmtId="0" xfId="0" applyAlignment="1" applyBorder="1" applyFont="1">
      <alignment readingOrder="0" shrinkToFit="0" vertical="center" wrapText="1"/>
    </xf>
    <xf borderId="1" fillId="0" fontId="3" numFmtId="0" xfId="0" applyAlignment="1" applyBorder="1" applyFont="1">
      <alignment vertical="center"/>
    </xf>
    <xf borderId="1" fillId="0" fontId="13" numFmtId="0" xfId="0" applyAlignment="1" applyBorder="1" applyFont="1">
      <alignment readingOrder="0" shrinkToFit="0" vertical="bottom" wrapText="1"/>
    </xf>
    <xf borderId="1" fillId="0" fontId="13" numFmtId="0" xfId="0" applyAlignment="1" applyBorder="1" applyFont="1">
      <alignment horizontal="right" readingOrder="0" shrinkToFit="0" vertical="bottom" wrapText="0"/>
    </xf>
    <xf borderId="0" fillId="0" fontId="3" numFmtId="0" xfId="0" applyAlignment="1" applyFont="1">
      <alignment readingOrder="0" shrinkToFit="0" wrapText="1"/>
    </xf>
    <xf borderId="1" fillId="0" fontId="13" numFmtId="0" xfId="0" applyAlignment="1" applyBorder="1" applyFont="1">
      <alignment readingOrder="0" shrinkToFit="0" vertical="center" wrapText="1"/>
    </xf>
    <xf borderId="1" fillId="0" fontId="3" numFmtId="0" xfId="0" applyAlignment="1" applyBorder="1" applyFont="1">
      <alignment shrinkToFit="0" vertical="center" wrapText="1"/>
    </xf>
  </cellXfs>
  <cellStyles count="1">
    <cellStyle xfId="0" name="Normal" builtinId="0"/>
  </cellStyles>
  <dxfs count="3">
    <dxf>
      <font/>
      <fill>
        <patternFill patternType="solid">
          <fgColor rgb="FF00B050"/>
          <bgColor rgb="FF00B050"/>
        </patternFill>
      </fill>
      <border/>
    </dxf>
    <dxf>
      <font/>
      <fill>
        <patternFill patternType="solid">
          <fgColor rgb="FFFECB03"/>
          <bgColor rgb="FFFECB03"/>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4.5"/>
    <col customWidth="1" min="9" max="9" width="8.0"/>
    <col customWidth="1" min="11" max="12" width="13.38"/>
    <col customWidth="1" min="13" max="13" width="9.63"/>
    <col customWidth="1" min="14" max="14" width="8.63"/>
    <col customWidth="1" min="15" max="15" width="8.5"/>
    <col customWidth="1" min="16" max="16" width="16.25"/>
    <col customWidth="1" min="20" max="20" width="11.88"/>
    <col customWidth="1" min="21" max="21" width="38.88"/>
    <col customWidth="1" min="22" max="22" width="37.88"/>
  </cols>
  <sheetData>
    <row r="2" ht="24.0" customHeight="1">
      <c r="B2" s="1" t="s">
        <v>0</v>
      </c>
      <c r="J2" s="2" t="s">
        <v>1</v>
      </c>
      <c r="K2" s="2" t="s">
        <v>2</v>
      </c>
      <c r="L2" s="3"/>
    </row>
    <row r="3">
      <c r="B3" s="4"/>
      <c r="D3" s="5" t="s">
        <v>3</v>
      </c>
      <c r="J3" s="6" t="s">
        <v>4</v>
      </c>
      <c r="K3" s="7">
        <v>5.0</v>
      </c>
      <c r="L3" s="8"/>
    </row>
    <row r="4">
      <c r="D4" s="9" t="s">
        <v>5</v>
      </c>
      <c r="E4" s="9" t="s">
        <v>6</v>
      </c>
      <c r="F4" s="9" t="s">
        <v>7</v>
      </c>
      <c r="G4" s="9" t="s">
        <v>8</v>
      </c>
      <c r="H4" s="9" t="s">
        <v>9</v>
      </c>
      <c r="J4" s="6" t="s">
        <v>10</v>
      </c>
      <c r="K4" s="7">
        <v>4.0</v>
      </c>
      <c r="L4" s="8"/>
    </row>
    <row r="5">
      <c r="B5" s="10" t="s">
        <v>11</v>
      </c>
      <c r="C5" s="11" t="s">
        <v>9</v>
      </c>
      <c r="D5" s="12">
        <v>5.0</v>
      </c>
      <c r="E5" s="13">
        <v>10.0</v>
      </c>
      <c r="F5" s="14">
        <v>15.0</v>
      </c>
      <c r="G5" s="14">
        <v>20.0</v>
      </c>
      <c r="H5" s="14">
        <v>25.0</v>
      </c>
      <c r="J5" s="6" t="s">
        <v>12</v>
      </c>
      <c r="K5" s="7">
        <v>3.0</v>
      </c>
      <c r="L5" s="8"/>
    </row>
    <row r="6">
      <c r="B6" s="15"/>
      <c r="C6" s="16" t="s">
        <v>8</v>
      </c>
      <c r="D6" s="17">
        <v>4.0</v>
      </c>
      <c r="E6" s="18">
        <v>8.0</v>
      </c>
      <c r="F6" s="18">
        <v>12.0</v>
      </c>
      <c r="G6" s="19">
        <v>16.0</v>
      </c>
      <c r="H6" s="19">
        <v>20.0</v>
      </c>
      <c r="J6" s="6" t="s">
        <v>13</v>
      </c>
      <c r="K6" s="7">
        <v>2.0</v>
      </c>
      <c r="L6" s="8"/>
    </row>
    <row r="7">
      <c r="B7" s="15"/>
      <c r="C7" s="16" t="s">
        <v>7</v>
      </c>
      <c r="D7" s="17">
        <v>3.0</v>
      </c>
      <c r="E7" s="17">
        <v>6.0</v>
      </c>
      <c r="F7" s="18">
        <v>9.0</v>
      </c>
      <c r="G7" s="18">
        <v>12.0</v>
      </c>
      <c r="H7" s="19">
        <v>15.0</v>
      </c>
      <c r="J7" s="6" t="s">
        <v>14</v>
      </c>
      <c r="K7" s="7">
        <v>1.0</v>
      </c>
      <c r="L7" s="8"/>
    </row>
    <row r="8">
      <c r="B8" s="15"/>
      <c r="C8" s="16" t="s">
        <v>6</v>
      </c>
      <c r="D8" s="17">
        <v>2.0</v>
      </c>
      <c r="E8" s="17">
        <v>4.0</v>
      </c>
      <c r="F8" s="17">
        <v>6.0</v>
      </c>
      <c r="G8" s="18">
        <v>8.0</v>
      </c>
      <c r="H8" s="18">
        <v>10.0</v>
      </c>
    </row>
    <row r="9">
      <c r="B9" s="20"/>
      <c r="C9" s="16" t="s">
        <v>5</v>
      </c>
      <c r="D9" s="17">
        <v>1.0</v>
      </c>
      <c r="E9" s="17">
        <v>2.0</v>
      </c>
      <c r="F9" s="17">
        <v>3.0</v>
      </c>
      <c r="G9" s="17">
        <v>4.0</v>
      </c>
      <c r="H9" s="17">
        <v>5.0</v>
      </c>
    </row>
    <row r="13">
      <c r="B13" s="21" t="s">
        <v>15</v>
      </c>
      <c r="C13" s="22"/>
      <c r="D13" s="22"/>
      <c r="E13" s="22"/>
      <c r="F13" s="22"/>
      <c r="G13" s="22"/>
      <c r="H13" s="22"/>
      <c r="I13" s="22"/>
      <c r="J13" s="22"/>
      <c r="K13" s="22"/>
      <c r="L13" s="22"/>
      <c r="M13" s="22"/>
      <c r="N13" s="22"/>
      <c r="O13" s="22"/>
      <c r="P13" s="22"/>
      <c r="Q13" s="22"/>
      <c r="R13" s="22"/>
      <c r="S13" s="23"/>
      <c r="T13" s="21" t="s">
        <v>16</v>
      </c>
      <c r="U13" s="23"/>
      <c r="V13" s="24" t="s">
        <v>17</v>
      </c>
      <c r="W13" s="25"/>
      <c r="X13" s="26"/>
      <c r="Y13" s="26"/>
      <c r="Z13" s="26"/>
      <c r="AA13" s="26"/>
      <c r="AB13" s="26"/>
      <c r="AC13" s="26"/>
      <c r="AD13" s="26"/>
      <c r="AE13" s="26"/>
      <c r="AF13" s="26"/>
      <c r="AG13" s="26"/>
      <c r="AH13" s="26"/>
      <c r="AI13" s="26"/>
      <c r="AJ13" s="26"/>
      <c r="AK13" s="26"/>
    </row>
    <row r="14">
      <c r="B14" s="27" t="s">
        <v>18</v>
      </c>
      <c r="C14" s="28" t="s">
        <v>19</v>
      </c>
      <c r="D14" s="22"/>
      <c r="E14" s="22"/>
      <c r="F14" s="29" t="s">
        <v>20</v>
      </c>
      <c r="G14" s="22"/>
      <c r="H14" s="22"/>
      <c r="I14" s="22"/>
      <c r="J14" s="22"/>
      <c r="K14" s="22"/>
      <c r="L14" s="23"/>
      <c r="M14" s="28" t="s">
        <v>21</v>
      </c>
      <c r="N14" s="22"/>
      <c r="O14" s="23"/>
      <c r="P14" s="27" t="s">
        <v>11</v>
      </c>
      <c r="Q14" s="27" t="s">
        <v>3</v>
      </c>
      <c r="R14" s="27" t="s">
        <v>22</v>
      </c>
      <c r="S14" s="30" t="s">
        <v>23</v>
      </c>
      <c r="T14" s="30" t="s">
        <v>24</v>
      </c>
      <c r="U14" s="30" t="s">
        <v>25</v>
      </c>
      <c r="V14" s="30" t="s">
        <v>26</v>
      </c>
      <c r="W14" s="31"/>
      <c r="X14" s="31"/>
      <c r="Y14" s="31"/>
      <c r="Z14" s="31"/>
      <c r="AA14" s="31"/>
      <c r="AB14" s="31"/>
      <c r="AC14" s="31"/>
      <c r="AD14" s="31"/>
      <c r="AE14" s="31"/>
      <c r="AF14" s="31"/>
      <c r="AG14" s="31"/>
      <c r="AH14" s="31"/>
      <c r="AI14" s="31"/>
      <c r="AJ14" s="31"/>
      <c r="AK14" s="31"/>
    </row>
    <row r="15">
      <c r="B15" s="32">
        <v>1.0</v>
      </c>
      <c r="C15" s="33" t="s">
        <v>27</v>
      </c>
      <c r="D15" s="22"/>
      <c r="E15" s="22"/>
      <c r="F15" s="33" t="s">
        <v>28</v>
      </c>
      <c r="G15" s="22"/>
      <c r="H15" s="22"/>
      <c r="I15" s="22"/>
      <c r="J15" s="22"/>
      <c r="K15" s="22"/>
      <c r="L15" s="23"/>
      <c r="M15" s="33" t="s">
        <v>29</v>
      </c>
      <c r="N15" s="22"/>
      <c r="O15" s="23"/>
      <c r="P15" s="34" t="s">
        <v>12</v>
      </c>
      <c r="Q15" s="34" t="s">
        <v>4</v>
      </c>
      <c r="R15" s="32">
        <f t="shared" ref="R15:R25" si="1">XLOOKUP(P15,J$3:J$7,K$3:K$7,0)*XLOOKUP(Q15,J$3:J$7,K$3:K$7,0)</f>
        <v>15</v>
      </c>
      <c r="S15" s="35" t="str">
        <f t="shared" ref="S15:S25" si="2">IF(R15&lt;=6,"Bajo",IF(R15&lt;=12,"Medio","Alto"))</f>
        <v>Alto</v>
      </c>
      <c r="T15" s="36" t="s">
        <v>30</v>
      </c>
      <c r="U15" s="37" t="s">
        <v>31</v>
      </c>
      <c r="V15" s="38" t="s">
        <v>32</v>
      </c>
      <c r="W15" s="3" t="s">
        <v>33</v>
      </c>
      <c r="X15" s="39"/>
      <c r="Y15" s="39"/>
      <c r="Z15" s="39"/>
      <c r="AA15" s="39"/>
      <c r="AB15" s="39"/>
      <c r="AC15" s="39"/>
      <c r="AD15" s="39"/>
      <c r="AE15" s="39"/>
      <c r="AF15" s="39"/>
      <c r="AG15" s="39"/>
      <c r="AH15" s="39"/>
      <c r="AI15" s="39"/>
      <c r="AJ15" s="39"/>
      <c r="AK15" s="39"/>
    </row>
    <row r="16">
      <c r="B16" s="32">
        <v>2.0</v>
      </c>
      <c r="C16" s="33" t="s">
        <v>34</v>
      </c>
      <c r="D16" s="22"/>
      <c r="E16" s="22"/>
      <c r="F16" s="40" t="s">
        <v>35</v>
      </c>
      <c r="G16" s="22"/>
      <c r="H16" s="22"/>
      <c r="I16" s="22"/>
      <c r="J16" s="22"/>
      <c r="K16" s="22"/>
      <c r="L16" s="23"/>
      <c r="M16" s="33" t="s">
        <v>29</v>
      </c>
      <c r="N16" s="22"/>
      <c r="O16" s="23"/>
      <c r="P16" s="34" t="s">
        <v>13</v>
      </c>
      <c r="Q16" s="34" t="s">
        <v>4</v>
      </c>
      <c r="R16" s="32">
        <f t="shared" si="1"/>
        <v>10</v>
      </c>
      <c r="S16" s="35" t="str">
        <f t="shared" si="2"/>
        <v>Medio</v>
      </c>
      <c r="T16" s="36"/>
      <c r="U16" s="41"/>
      <c r="V16" s="39"/>
      <c r="W16" s="39"/>
      <c r="X16" s="39"/>
      <c r="Y16" s="39"/>
      <c r="Z16" s="39"/>
      <c r="AA16" s="39"/>
      <c r="AB16" s="39"/>
      <c r="AC16" s="39"/>
      <c r="AD16" s="39"/>
      <c r="AE16" s="39"/>
      <c r="AF16" s="39"/>
      <c r="AG16" s="39"/>
      <c r="AH16" s="39"/>
      <c r="AI16" s="39"/>
      <c r="AJ16" s="39"/>
      <c r="AK16" s="39"/>
    </row>
    <row r="17">
      <c r="B17" s="32">
        <v>3.0</v>
      </c>
      <c r="C17" s="33" t="s">
        <v>36</v>
      </c>
      <c r="D17" s="22"/>
      <c r="E17" s="22"/>
      <c r="F17" s="40" t="s">
        <v>37</v>
      </c>
      <c r="G17" s="22"/>
      <c r="H17" s="22"/>
      <c r="I17" s="22"/>
      <c r="J17" s="22"/>
      <c r="K17" s="22"/>
      <c r="L17" s="23"/>
      <c r="M17" s="33" t="s">
        <v>29</v>
      </c>
      <c r="N17" s="22"/>
      <c r="O17" s="23"/>
      <c r="P17" s="34" t="s">
        <v>12</v>
      </c>
      <c r="Q17" s="34" t="s">
        <v>10</v>
      </c>
      <c r="R17" s="32">
        <f t="shared" si="1"/>
        <v>12</v>
      </c>
      <c r="S17" s="35" t="str">
        <f t="shared" si="2"/>
        <v>Medio</v>
      </c>
      <c r="T17" s="36"/>
      <c r="U17" s="41"/>
      <c r="V17" s="39"/>
      <c r="W17" s="39"/>
      <c r="X17" s="39"/>
      <c r="Y17" s="39"/>
      <c r="Z17" s="39"/>
      <c r="AA17" s="39"/>
      <c r="AB17" s="39"/>
      <c r="AC17" s="39"/>
      <c r="AD17" s="39"/>
      <c r="AE17" s="39"/>
      <c r="AF17" s="39"/>
      <c r="AG17" s="39"/>
      <c r="AH17" s="39"/>
      <c r="AI17" s="39"/>
      <c r="AJ17" s="39"/>
      <c r="AK17" s="39"/>
    </row>
    <row r="18">
      <c r="B18" s="32">
        <v>4.0</v>
      </c>
      <c r="C18" s="33" t="s">
        <v>38</v>
      </c>
      <c r="D18" s="22"/>
      <c r="E18" s="22"/>
      <c r="F18" s="40" t="s">
        <v>39</v>
      </c>
      <c r="G18" s="22"/>
      <c r="H18" s="22"/>
      <c r="I18" s="22"/>
      <c r="J18" s="22"/>
      <c r="K18" s="22"/>
      <c r="L18" s="23"/>
      <c r="M18" s="33" t="s">
        <v>29</v>
      </c>
      <c r="N18" s="22"/>
      <c r="O18" s="23"/>
      <c r="P18" s="34" t="s">
        <v>12</v>
      </c>
      <c r="Q18" s="34" t="s">
        <v>4</v>
      </c>
      <c r="R18" s="32">
        <f t="shared" si="1"/>
        <v>15</v>
      </c>
      <c r="S18" s="35" t="str">
        <f t="shared" si="2"/>
        <v>Alto</v>
      </c>
      <c r="T18" s="36" t="s">
        <v>30</v>
      </c>
      <c r="U18" s="37" t="s">
        <v>40</v>
      </c>
      <c r="V18" s="38" t="s">
        <v>41</v>
      </c>
      <c r="W18" s="3" t="s">
        <v>33</v>
      </c>
      <c r="X18" s="39"/>
      <c r="Y18" s="39"/>
      <c r="Z18" s="39"/>
      <c r="AA18" s="39"/>
      <c r="AB18" s="39"/>
      <c r="AC18" s="39"/>
      <c r="AD18" s="39"/>
      <c r="AE18" s="39"/>
      <c r="AF18" s="39"/>
      <c r="AG18" s="39"/>
      <c r="AH18" s="39"/>
      <c r="AI18" s="39"/>
      <c r="AJ18" s="39"/>
      <c r="AK18" s="39"/>
    </row>
    <row r="19">
      <c r="B19" s="32">
        <v>5.0</v>
      </c>
      <c r="C19" s="33" t="s">
        <v>42</v>
      </c>
      <c r="D19" s="22"/>
      <c r="E19" s="22"/>
      <c r="F19" s="40" t="s">
        <v>43</v>
      </c>
      <c r="G19" s="22"/>
      <c r="H19" s="22"/>
      <c r="I19" s="22"/>
      <c r="J19" s="22"/>
      <c r="K19" s="22"/>
      <c r="L19" s="23"/>
      <c r="M19" s="33" t="s">
        <v>29</v>
      </c>
      <c r="N19" s="22"/>
      <c r="O19" s="23"/>
      <c r="P19" s="34" t="s">
        <v>10</v>
      </c>
      <c r="Q19" s="34" t="s">
        <v>4</v>
      </c>
      <c r="R19" s="32">
        <f t="shared" si="1"/>
        <v>20</v>
      </c>
      <c r="S19" s="35" t="str">
        <f t="shared" si="2"/>
        <v>Alto</v>
      </c>
      <c r="T19" s="36" t="s">
        <v>30</v>
      </c>
      <c r="U19" s="37" t="s">
        <v>44</v>
      </c>
      <c r="V19" s="38" t="s">
        <v>45</v>
      </c>
      <c r="W19" s="3" t="s">
        <v>33</v>
      </c>
      <c r="X19" s="39"/>
      <c r="Y19" s="39"/>
      <c r="Z19" s="39"/>
      <c r="AA19" s="39"/>
      <c r="AB19" s="39"/>
      <c r="AC19" s="39"/>
      <c r="AD19" s="39"/>
      <c r="AE19" s="39"/>
      <c r="AF19" s="39"/>
      <c r="AG19" s="39"/>
      <c r="AH19" s="39"/>
      <c r="AI19" s="39"/>
      <c r="AJ19" s="39"/>
      <c r="AK19" s="39"/>
    </row>
    <row r="20">
      <c r="B20" s="32">
        <v>6.0</v>
      </c>
      <c r="C20" s="33" t="s">
        <v>46</v>
      </c>
      <c r="D20" s="22"/>
      <c r="E20" s="22"/>
      <c r="F20" s="42" t="s">
        <v>47</v>
      </c>
      <c r="G20" s="22"/>
      <c r="H20" s="22"/>
      <c r="I20" s="22"/>
      <c r="J20" s="22"/>
      <c r="K20" s="22"/>
      <c r="L20" s="23"/>
      <c r="M20" s="33" t="s">
        <v>29</v>
      </c>
      <c r="N20" s="22"/>
      <c r="O20" s="23"/>
      <c r="P20" s="34" t="s">
        <v>10</v>
      </c>
      <c r="Q20" s="34" t="s">
        <v>4</v>
      </c>
      <c r="R20" s="32">
        <f t="shared" si="1"/>
        <v>20</v>
      </c>
      <c r="S20" s="35" t="str">
        <f t="shared" si="2"/>
        <v>Alto</v>
      </c>
      <c r="T20" s="36" t="s">
        <v>30</v>
      </c>
      <c r="U20" s="37" t="s">
        <v>48</v>
      </c>
      <c r="V20" s="38" t="s">
        <v>49</v>
      </c>
      <c r="W20" s="39"/>
      <c r="X20" s="39"/>
      <c r="Y20" s="39"/>
      <c r="Z20" s="39"/>
      <c r="AA20" s="39"/>
      <c r="AB20" s="39"/>
      <c r="AC20" s="39"/>
      <c r="AD20" s="39"/>
      <c r="AE20" s="39"/>
      <c r="AF20" s="39"/>
      <c r="AG20" s="39"/>
      <c r="AH20" s="39"/>
      <c r="AI20" s="39"/>
      <c r="AJ20" s="39"/>
      <c r="AK20" s="39"/>
    </row>
    <row r="21">
      <c r="B21" s="32">
        <v>7.0</v>
      </c>
      <c r="C21" s="33" t="s">
        <v>50</v>
      </c>
      <c r="D21" s="22"/>
      <c r="E21" s="22"/>
      <c r="F21" s="42" t="s">
        <v>51</v>
      </c>
      <c r="G21" s="22"/>
      <c r="H21" s="22"/>
      <c r="I21" s="22"/>
      <c r="J21" s="22"/>
      <c r="K21" s="22"/>
      <c r="L21" s="23"/>
      <c r="M21" s="33" t="s">
        <v>29</v>
      </c>
      <c r="N21" s="22"/>
      <c r="O21" s="23"/>
      <c r="P21" s="34" t="s">
        <v>12</v>
      </c>
      <c r="Q21" s="34" t="s">
        <v>10</v>
      </c>
      <c r="R21" s="32">
        <f t="shared" si="1"/>
        <v>12</v>
      </c>
      <c r="S21" s="35" t="str">
        <f t="shared" si="2"/>
        <v>Medio</v>
      </c>
      <c r="T21" s="36"/>
      <c r="U21" s="43"/>
      <c r="V21" s="39"/>
      <c r="W21" s="39"/>
      <c r="X21" s="39"/>
      <c r="Y21" s="39"/>
      <c r="Z21" s="39"/>
      <c r="AA21" s="39"/>
      <c r="AB21" s="39"/>
      <c r="AC21" s="39"/>
      <c r="AD21" s="39"/>
      <c r="AE21" s="39"/>
      <c r="AF21" s="39"/>
      <c r="AG21" s="39"/>
      <c r="AH21" s="39"/>
      <c r="AI21" s="39"/>
      <c r="AJ21" s="39"/>
      <c r="AK21" s="39"/>
    </row>
    <row r="22">
      <c r="B22" s="32">
        <v>8.0</v>
      </c>
      <c r="C22" s="33" t="s">
        <v>52</v>
      </c>
      <c r="D22" s="22"/>
      <c r="E22" s="22"/>
      <c r="F22" s="42" t="s">
        <v>53</v>
      </c>
      <c r="G22" s="22"/>
      <c r="H22" s="22"/>
      <c r="I22" s="22"/>
      <c r="J22" s="22"/>
      <c r="K22" s="22"/>
      <c r="L22" s="23"/>
      <c r="M22" s="33" t="s">
        <v>29</v>
      </c>
      <c r="N22" s="22"/>
      <c r="O22" s="23"/>
      <c r="P22" s="34" t="s">
        <v>12</v>
      </c>
      <c r="Q22" s="34" t="s">
        <v>10</v>
      </c>
      <c r="R22" s="32">
        <f t="shared" si="1"/>
        <v>12</v>
      </c>
      <c r="S22" s="35" t="str">
        <f t="shared" si="2"/>
        <v>Medio</v>
      </c>
      <c r="T22" s="36"/>
      <c r="U22" s="43"/>
      <c r="V22" s="39"/>
      <c r="W22" s="39"/>
      <c r="X22" s="39"/>
      <c r="Y22" s="39"/>
      <c r="Z22" s="39"/>
      <c r="AA22" s="39"/>
      <c r="AB22" s="39"/>
      <c r="AC22" s="39"/>
      <c r="AD22" s="39"/>
      <c r="AE22" s="39"/>
      <c r="AF22" s="39"/>
      <c r="AG22" s="39"/>
      <c r="AH22" s="39"/>
      <c r="AI22" s="39"/>
      <c r="AJ22" s="39"/>
      <c r="AK22" s="39"/>
    </row>
    <row r="23">
      <c r="B23" s="34">
        <v>9.0</v>
      </c>
      <c r="C23" s="33" t="s">
        <v>54</v>
      </c>
      <c r="D23" s="22"/>
      <c r="E23" s="22"/>
      <c r="F23" s="42" t="s">
        <v>55</v>
      </c>
      <c r="G23" s="22"/>
      <c r="H23" s="22"/>
      <c r="I23" s="22"/>
      <c r="J23" s="22"/>
      <c r="K23" s="22"/>
      <c r="L23" s="23"/>
      <c r="M23" s="33" t="s">
        <v>56</v>
      </c>
      <c r="N23" s="22"/>
      <c r="O23" s="23"/>
      <c r="P23" s="34" t="s">
        <v>12</v>
      </c>
      <c r="Q23" s="34" t="s">
        <v>10</v>
      </c>
      <c r="R23" s="32">
        <f t="shared" si="1"/>
        <v>12</v>
      </c>
      <c r="S23" s="35" t="str">
        <f t="shared" si="2"/>
        <v>Medio</v>
      </c>
      <c r="T23" s="36" t="s">
        <v>30</v>
      </c>
      <c r="U23" s="37" t="s">
        <v>57</v>
      </c>
      <c r="V23" s="38" t="s">
        <v>58</v>
      </c>
      <c r="W23" s="39"/>
      <c r="X23" s="39"/>
      <c r="Y23" s="39"/>
      <c r="Z23" s="39"/>
      <c r="AA23" s="39"/>
      <c r="AB23" s="39"/>
      <c r="AC23" s="39"/>
      <c r="AD23" s="39"/>
      <c r="AE23" s="39"/>
      <c r="AF23" s="39"/>
      <c r="AG23" s="39"/>
      <c r="AH23" s="39"/>
      <c r="AI23" s="39"/>
      <c r="AJ23" s="39"/>
      <c r="AK23" s="39"/>
    </row>
    <row r="24">
      <c r="B24" s="32">
        <v>10.0</v>
      </c>
      <c r="C24" s="33" t="s">
        <v>59</v>
      </c>
      <c r="D24" s="22"/>
      <c r="E24" s="22"/>
      <c r="F24" s="42" t="s">
        <v>60</v>
      </c>
      <c r="G24" s="22"/>
      <c r="H24" s="22"/>
      <c r="I24" s="22"/>
      <c r="J24" s="22"/>
      <c r="K24" s="22"/>
      <c r="L24" s="23"/>
      <c r="M24" s="33" t="s">
        <v>61</v>
      </c>
      <c r="N24" s="22"/>
      <c r="O24" s="23"/>
      <c r="P24" s="34" t="s">
        <v>12</v>
      </c>
      <c r="Q24" s="34" t="s">
        <v>4</v>
      </c>
      <c r="R24" s="32">
        <f t="shared" si="1"/>
        <v>15</v>
      </c>
      <c r="S24" s="35" t="str">
        <f t="shared" si="2"/>
        <v>Alto</v>
      </c>
      <c r="T24" s="36" t="s">
        <v>30</v>
      </c>
      <c r="U24" s="37" t="s">
        <v>62</v>
      </c>
      <c r="V24" s="38" t="s">
        <v>63</v>
      </c>
      <c r="W24" s="39"/>
      <c r="X24" s="39"/>
      <c r="Y24" s="39"/>
      <c r="Z24" s="39"/>
      <c r="AA24" s="39"/>
      <c r="AB24" s="39"/>
      <c r="AC24" s="39"/>
      <c r="AD24" s="39"/>
      <c r="AE24" s="39"/>
      <c r="AF24" s="39"/>
      <c r="AG24" s="39"/>
      <c r="AH24" s="39"/>
      <c r="AI24" s="39"/>
      <c r="AJ24" s="39"/>
      <c r="AK24" s="39"/>
    </row>
    <row r="25">
      <c r="B25" s="44">
        <v>11.0</v>
      </c>
      <c r="C25" s="33" t="s">
        <v>64</v>
      </c>
      <c r="D25" s="22"/>
      <c r="E25" s="22"/>
      <c r="F25" s="42" t="s">
        <v>65</v>
      </c>
      <c r="G25" s="22"/>
      <c r="H25" s="22"/>
      <c r="I25" s="22"/>
      <c r="J25" s="22"/>
      <c r="K25" s="22"/>
      <c r="L25" s="23"/>
      <c r="M25" s="33" t="s">
        <v>56</v>
      </c>
      <c r="N25" s="22"/>
      <c r="O25" s="23"/>
      <c r="P25" s="34" t="s">
        <v>13</v>
      </c>
      <c r="Q25" s="34" t="s">
        <v>10</v>
      </c>
      <c r="R25" s="32">
        <f t="shared" si="1"/>
        <v>8</v>
      </c>
      <c r="S25" s="35" t="str">
        <f t="shared" si="2"/>
        <v>Medio</v>
      </c>
      <c r="T25" s="36"/>
      <c r="U25" s="43"/>
      <c r="V25" s="45"/>
    </row>
    <row r="26">
      <c r="B26" s="46"/>
    </row>
    <row r="27">
      <c r="B27" s="44">
        <v>12.0</v>
      </c>
      <c r="C27" s="47" t="s">
        <v>66</v>
      </c>
      <c r="D27" s="22"/>
      <c r="E27" s="23"/>
      <c r="F27" s="47" t="s">
        <v>67</v>
      </c>
      <c r="G27" s="22"/>
      <c r="H27" s="22"/>
      <c r="I27" s="22"/>
      <c r="J27" s="22"/>
      <c r="K27" s="22"/>
      <c r="L27" s="23"/>
      <c r="M27" s="33" t="s">
        <v>56</v>
      </c>
      <c r="N27" s="22"/>
      <c r="O27" s="23"/>
      <c r="P27" s="34" t="s">
        <v>12</v>
      </c>
      <c r="Q27" s="34" t="s">
        <v>4</v>
      </c>
      <c r="R27" s="32">
        <f t="shared" ref="R27:R35" si="3">XLOOKUP(P27,J$3:J$7,K$3:K$7,0)*XLOOKUP(Q27,J$3:J$7,K$3:K$7,0)</f>
        <v>15</v>
      </c>
      <c r="S27" s="35" t="str">
        <f t="shared" ref="S27:S35" si="4">IF(R27&lt;=6,"Bajo",IF(R27&lt;=12,"Medio","Alto"))</f>
        <v>Alto</v>
      </c>
      <c r="T27" s="36"/>
      <c r="U27" s="48"/>
      <c r="V27" s="49" t="s">
        <v>68</v>
      </c>
    </row>
    <row r="28">
      <c r="B28" s="50">
        <v>13.0</v>
      </c>
      <c r="C28" s="47" t="s">
        <v>69</v>
      </c>
      <c r="D28" s="22"/>
      <c r="E28" s="23"/>
      <c r="F28" s="47" t="s">
        <v>70</v>
      </c>
      <c r="G28" s="22"/>
      <c r="H28" s="22"/>
      <c r="I28" s="22"/>
      <c r="J28" s="22"/>
      <c r="K28" s="22"/>
      <c r="L28" s="23"/>
      <c r="M28" s="33" t="s">
        <v>61</v>
      </c>
      <c r="N28" s="22"/>
      <c r="O28" s="23"/>
      <c r="P28" s="34" t="s">
        <v>13</v>
      </c>
      <c r="Q28" s="34" t="s">
        <v>4</v>
      </c>
      <c r="R28" s="32">
        <f t="shared" si="3"/>
        <v>10</v>
      </c>
      <c r="S28" s="35" t="str">
        <f t="shared" si="4"/>
        <v>Medio</v>
      </c>
      <c r="T28" s="36" t="s">
        <v>30</v>
      </c>
      <c r="U28" s="51" t="s">
        <v>71</v>
      </c>
      <c r="V28" s="52" t="s">
        <v>72</v>
      </c>
    </row>
    <row r="29">
      <c r="B29" s="37">
        <v>14.0</v>
      </c>
      <c r="C29" s="47" t="s">
        <v>73</v>
      </c>
      <c r="D29" s="22"/>
      <c r="E29" s="23"/>
      <c r="F29" s="47" t="s">
        <v>74</v>
      </c>
      <c r="G29" s="22"/>
      <c r="H29" s="22"/>
      <c r="I29" s="22"/>
      <c r="J29" s="22"/>
      <c r="K29" s="22"/>
      <c r="L29" s="23"/>
      <c r="M29" s="33" t="s">
        <v>56</v>
      </c>
      <c r="N29" s="22"/>
      <c r="O29" s="23"/>
      <c r="P29" s="34" t="s">
        <v>10</v>
      </c>
      <c r="Q29" s="34" t="s">
        <v>10</v>
      </c>
      <c r="R29" s="32">
        <f t="shared" si="3"/>
        <v>16</v>
      </c>
      <c r="S29" s="35" t="str">
        <f t="shared" si="4"/>
        <v>Alto</v>
      </c>
      <c r="T29" s="36" t="s">
        <v>30</v>
      </c>
      <c r="U29" s="37" t="s">
        <v>75</v>
      </c>
      <c r="V29" s="52" t="s">
        <v>76</v>
      </c>
    </row>
    <row r="30">
      <c r="B30" s="37">
        <v>15.0</v>
      </c>
      <c r="C30" s="47" t="s">
        <v>77</v>
      </c>
      <c r="D30" s="22"/>
      <c r="E30" s="23"/>
      <c r="F30" s="47" t="s">
        <v>78</v>
      </c>
      <c r="G30" s="22"/>
      <c r="H30" s="22"/>
      <c r="I30" s="22"/>
      <c r="J30" s="22"/>
      <c r="K30" s="22"/>
      <c r="L30" s="23"/>
      <c r="M30" s="33" t="s">
        <v>61</v>
      </c>
      <c r="N30" s="22"/>
      <c r="O30" s="23"/>
      <c r="P30" s="34" t="s">
        <v>12</v>
      </c>
      <c r="Q30" s="34" t="s">
        <v>4</v>
      </c>
      <c r="R30" s="32">
        <f t="shared" si="3"/>
        <v>15</v>
      </c>
      <c r="S30" s="35" t="str">
        <f t="shared" si="4"/>
        <v>Alto</v>
      </c>
      <c r="T30" s="36"/>
      <c r="U30" s="53"/>
      <c r="V30" s="52" t="s">
        <v>79</v>
      </c>
    </row>
    <row r="31">
      <c r="B31" s="37">
        <v>16.0</v>
      </c>
      <c r="C31" s="47" t="s">
        <v>80</v>
      </c>
      <c r="D31" s="22"/>
      <c r="E31" s="23"/>
      <c r="F31" s="47" t="s">
        <v>81</v>
      </c>
      <c r="G31" s="22"/>
      <c r="H31" s="22"/>
      <c r="I31" s="22"/>
      <c r="J31" s="22"/>
      <c r="K31" s="22"/>
      <c r="L31" s="23"/>
      <c r="M31" s="33"/>
      <c r="N31" s="22"/>
      <c r="O31" s="23"/>
      <c r="P31" s="34" t="s">
        <v>12</v>
      </c>
      <c r="Q31" s="34" t="s">
        <v>10</v>
      </c>
      <c r="R31" s="32">
        <f t="shared" si="3"/>
        <v>12</v>
      </c>
      <c r="S31" s="35" t="str">
        <f t="shared" si="4"/>
        <v>Medio</v>
      </c>
      <c r="T31" s="36"/>
      <c r="U31" s="53"/>
      <c r="V31" s="52" t="s">
        <v>82</v>
      </c>
    </row>
    <row r="32">
      <c r="B32" s="37">
        <v>17.0</v>
      </c>
      <c r="C32" s="47" t="s">
        <v>83</v>
      </c>
      <c r="D32" s="22"/>
      <c r="E32" s="23"/>
      <c r="F32" s="47" t="s">
        <v>84</v>
      </c>
      <c r="G32" s="22"/>
      <c r="H32" s="22"/>
      <c r="I32" s="22"/>
      <c r="J32" s="22"/>
      <c r="K32" s="22"/>
      <c r="L32" s="23"/>
      <c r="M32" s="33" t="s">
        <v>29</v>
      </c>
      <c r="N32" s="22"/>
      <c r="O32" s="23"/>
      <c r="P32" s="34" t="s">
        <v>10</v>
      </c>
      <c r="Q32" s="34" t="s">
        <v>10</v>
      </c>
      <c r="R32" s="32">
        <f t="shared" si="3"/>
        <v>16</v>
      </c>
      <c r="S32" s="35" t="str">
        <f t="shared" si="4"/>
        <v>Alto</v>
      </c>
      <c r="T32" s="36" t="s">
        <v>30</v>
      </c>
      <c r="U32" s="51" t="s">
        <v>85</v>
      </c>
      <c r="V32" s="52" t="s">
        <v>86</v>
      </c>
    </row>
    <row r="33">
      <c r="B33" s="37">
        <v>18.0</v>
      </c>
      <c r="C33" s="47" t="s">
        <v>87</v>
      </c>
      <c r="D33" s="22"/>
      <c r="E33" s="23"/>
      <c r="F33" s="47" t="s">
        <v>88</v>
      </c>
      <c r="G33" s="22"/>
      <c r="H33" s="22"/>
      <c r="I33" s="22"/>
      <c r="J33" s="22"/>
      <c r="K33" s="22"/>
      <c r="L33" s="23"/>
      <c r="M33" s="33"/>
      <c r="N33" s="22"/>
      <c r="O33" s="23"/>
      <c r="P33" s="34" t="s">
        <v>12</v>
      </c>
      <c r="Q33" s="34" t="s">
        <v>4</v>
      </c>
      <c r="R33" s="32">
        <f t="shared" si="3"/>
        <v>15</v>
      </c>
      <c r="S33" s="35" t="str">
        <f t="shared" si="4"/>
        <v>Alto</v>
      </c>
      <c r="T33" s="36"/>
      <c r="U33" s="53"/>
      <c r="V33" s="52" t="s">
        <v>89</v>
      </c>
    </row>
    <row r="34">
      <c r="B34" s="37">
        <v>19.0</v>
      </c>
      <c r="C34" s="47" t="s">
        <v>90</v>
      </c>
      <c r="D34" s="22"/>
      <c r="E34" s="23"/>
      <c r="F34" s="47" t="s">
        <v>91</v>
      </c>
      <c r="G34" s="22"/>
      <c r="H34" s="22"/>
      <c r="I34" s="22"/>
      <c r="J34" s="22"/>
      <c r="K34" s="22"/>
      <c r="L34" s="23"/>
      <c r="M34" s="33"/>
      <c r="N34" s="22"/>
      <c r="O34" s="23"/>
      <c r="P34" s="34" t="s">
        <v>10</v>
      </c>
      <c r="Q34" s="34" t="s">
        <v>12</v>
      </c>
      <c r="R34" s="32">
        <f t="shared" si="3"/>
        <v>12</v>
      </c>
      <c r="S34" s="35" t="str">
        <f t="shared" si="4"/>
        <v>Medio</v>
      </c>
      <c r="T34" s="36"/>
      <c r="U34" s="53"/>
      <c r="V34" s="52" t="s">
        <v>92</v>
      </c>
    </row>
    <row r="35">
      <c r="B35" s="37">
        <v>20.0</v>
      </c>
      <c r="C35" s="47" t="s">
        <v>93</v>
      </c>
      <c r="D35" s="22"/>
      <c r="E35" s="23"/>
      <c r="F35" s="47" t="s">
        <v>94</v>
      </c>
      <c r="G35" s="22"/>
      <c r="H35" s="22"/>
      <c r="I35" s="22"/>
      <c r="J35" s="22"/>
      <c r="K35" s="22"/>
      <c r="L35" s="23"/>
      <c r="M35" s="33"/>
      <c r="N35" s="22"/>
      <c r="O35" s="23"/>
      <c r="P35" s="34" t="s">
        <v>13</v>
      </c>
      <c r="Q35" s="34" t="s">
        <v>4</v>
      </c>
      <c r="R35" s="32">
        <f t="shared" si="3"/>
        <v>10</v>
      </c>
      <c r="S35" s="35" t="str">
        <f t="shared" si="4"/>
        <v>Medio</v>
      </c>
      <c r="T35" s="36"/>
      <c r="U35" s="53"/>
      <c r="V35" s="52" t="s">
        <v>95</v>
      </c>
    </row>
  </sheetData>
  <mergeCells count="70">
    <mergeCell ref="C31:E31"/>
    <mergeCell ref="C32:E32"/>
    <mergeCell ref="C33:E33"/>
    <mergeCell ref="C34:E34"/>
    <mergeCell ref="C35:E35"/>
    <mergeCell ref="C23:E23"/>
    <mergeCell ref="C24:E24"/>
    <mergeCell ref="C25:E25"/>
    <mergeCell ref="C27:E27"/>
    <mergeCell ref="C28:E28"/>
    <mergeCell ref="C29:E29"/>
    <mergeCell ref="C30:E30"/>
    <mergeCell ref="F28:L28"/>
    <mergeCell ref="M28:O28"/>
    <mergeCell ref="F29:L29"/>
    <mergeCell ref="M29:O29"/>
    <mergeCell ref="F30:L30"/>
    <mergeCell ref="M30:O30"/>
    <mergeCell ref="M31:O31"/>
    <mergeCell ref="F31:L31"/>
    <mergeCell ref="F32:L32"/>
    <mergeCell ref="M32:O32"/>
    <mergeCell ref="F33:L33"/>
    <mergeCell ref="M33:O33"/>
    <mergeCell ref="F34:L34"/>
    <mergeCell ref="M34:O34"/>
    <mergeCell ref="B2:H2"/>
    <mergeCell ref="B3:C4"/>
    <mergeCell ref="D3:H3"/>
    <mergeCell ref="B5:B9"/>
    <mergeCell ref="B13:S13"/>
    <mergeCell ref="T13:U13"/>
    <mergeCell ref="C14:E14"/>
    <mergeCell ref="F14:L14"/>
    <mergeCell ref="M14:O14"/>
    <mergeCell ref="C15:E15"/>
    <mergeCell ref="F15:L15"/>
    <mergeCell ref="M15:O15"/>
    <mergeCell ref="F16:L16"/>
    <mergeCell ref="M16:O16"/>
    <mergeCell ref="F17:L17"/>
    <mergeCell ref="M17:O17"/>
    <mergeCell ref="F18:L18"/>
    <mergeCell ref="M18:O18"/>
    <mergeCell ref="F19:L19"/>
    <mergeCell ref="M19:O19"/>
    <mergeCell ref="M20:O20"/>
    <mergeCell ref="C16:E16"/>
    <mergeCell ref="C17:E17"/>
    <mergeCell ref="C18:E18"/>
    <mergeCell ref="C19:E19"/>
    <mergeCell ref="C20:E20"/>
    <mergeCell ref="C21:E21"/>
    <mergeCell ref="C22:E22"/>
    <mergeCell ref="F20:L20"/>
    <mergeCell ref="F21:L21"/>
    <mergeCell ref="M21:O21"/>
    <mergeCell ref="F22:L22"/>
    <mergeCell ref="M22:O22"/>
    <mergeCell ref="F23:L23"/>
    <mergeCell ref="M23:O23"/>
    <mergeCell ref="F24:L24"/>
    <mergeCell ref="M24:O24"/>
    <mergeCell ref="F25:L25"/>
    <mergeCell ref="M25:O25"/>
    <mergeCell ref="B26:V26"/>
    <mergeCell ref="F27:L27"/>
    <mergeCell ref="M27:O27"/>
    <mergeCell ref="F35:L35"/>
    <mergeCell ref="M35:O35"/>
  </mergeCells>
  <conditionalFormatting sqref="R15:R25 R27:R35">
    <cfRule type="expression" dxfId="0" priority="1">
      <formula>AND(R15&gt;=1, R15&lt;=6)</formula>
    </cfRule>
  </conditionalFormatting>
  <conditionalFormatting sqref="R15:R25 R27:R35">
    <cfRule type="expression" dxfId="1" priority="2">
      <formula>AND(R15&gt;=8, R15&lt;=12)</formula>
    </cfRule>
  </conditionalFormatting>
  <conditionalFormatting sqref="R15:R25 R27:R35">
    <cfRule type="expression" dxfId="2" priority="3">
      <formula>R15&gt;12</formula>
    </cfRule>
  </conditionalFormatting>
  <dataValidations>
    <dataValidation type="list" allowBlank="1" showErrorMessage="1" sqref="M15:M25 M27:M35">
      <formula1>"RIESGO DE TECNOLOGÍA,RIESGO FINACIERO,RIESGO OPERACIONAL,RIESGO LEGAL,RIESGO DE MERCADO"</formula1>
    </dataValidation>
    <dataValidation type="list" allowBlank="1" showErrorMessage="1" sqref="P15:Q25 P27:Q35">
      <formula1>"Muy Alto,Alto,Moderado,Bajo,Muy Bajo"</formula1>
    </dataValidation>
  </dataValidations>
  <drawing r:id="rId1"/>
</worksheet>
</file>